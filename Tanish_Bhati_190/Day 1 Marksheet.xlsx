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pu\AppData\Local\Packages\5319275A.WhatsAppDesktop_cv1g1gvanyjgm\LocalState\sessions\920CF7EEFA868A92F0534ABC119467B7B3F6F5F5\transfers\2026-09\"/>
    </mc:Choice>
  </mc:AlternateContent>
  <xr:revisionPtr revIDLastSave="0" documentId="13_ncr:1_{ADBD4645-BDF1-45B1-B02D-F6C00C641966}" xr6:coauthVersionLast="47" xr6:coauthVersionMax="47" xr10:uidLastSave="{00000000-0000-0000-0000-000000000000}"/>
  <bookViews>
    <workbookView xWindow="-108" yWindow="-108" windowWidth="23256" windowHeight="12456" xr2:uid="{C3E1714A-53E0-459F-962F-999429903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D20" i="1" s="1"/>
  <c r="L18" i="1" s="1"/>
  <c r="I8" i="1"/>
</calcChain>
</file>

<file path=xl/sharedStrings.xml><?xml version="1.0" encoding="utf-8"?>
<sst xmlns="http://schemas.openxmlformats.org/spreadsheetml/2006/main" count="41" uniqueCount="29">
  <si>
    <t>IT-VI SEM SECTION-C</t>
  </si>
  <si>
    <t>Subjects</t>
  </si>
  <si>
    <t>Total Marks</t>
  </si>
  <si>
    <t>Passing Marks</t>
  </si>
  <si>
    <t>Marks Obtained</t>
  </si>
  <si>
    <t xml:space="preserve">Total Obtained </t>
  </si>
  <si>
    <t>Grade</t>
  </si>
  <si>
    <t>Theory</t>
  </si>
  <si>
    <t>Internal</t>
  </si>
  <si>
    <t xml:space="preserve">MATHS </t>
  </si>
  <si>
    <t>A</t>
  </si>
  <si>
    <t>PYTHON</t>
  </si>
  <si>
    <t>ENGLISH</t>
  </si>
  <si>
    <t>DAA</t>
  </si>
  <si>
    <t xml:space="preserve">CN </t>
  </si>
  <si>
    <t>DA</t>
  </si>
  <si>
    <t>BID</t>
  </si>
  <si>
    <t>CSM</t>
  </si>
  <si>
    <t>JAVA</t>
  </si>
  <si>
    <t>TOTAL  MARKS</t>
  </si>
  <si>
    <t>PERCENTAGE</t>
  </si>
  <si>
    <t>PASSING MARKS</t>
  </si>
  <si>
    <t>ACADEMIC GRADE</t>
  </si>
  <si>
    <t>A+</t>
  </si>
  <si>
    <t>TOTAL OBATINED MARKS</t>
  </si>
  <si>
    <t>RANK</t>
  </si>
  <si>
    <t>YOU ARE</t>
  </si>
  <si>
    <t>Name- Tanish Bhati                          Fathers Name - AxYZ                            Roll-no - 190</t>
  </si>
  <si>
    <t>DOB- 04/04/2005                             Mothers Name -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</si>
</sst>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4" xfId="0" applyBorder="1"/>
    <xf numFmtId="0" fontId="0" fillId="4" borderId="10" xfId="0" applyFill="1" applyBorder="1"/>
    <xf numFmtId="0" fontId="0" fillId="4" borderId="3" xfId="0" applyFill="1" applyBorder="1"/>
    <xf numFmtId="0" fontId="0" fillId="6" borderId="12" xfId="0" applyFill="1" applyBorder="1"/>
    <xf numFmtId="0" fontId="0" fillId="6" borderId="6" xfId="0" applyFill="1" applyBorder="1"/>
    <xf numFmtId="0" fontId="0" fillId="7" borderId="12" xfId="0" applyFill="1" applyBorder="1"/>
    <xf numFmtId="0" fontId="0" fillId="7" borderId="6" xfId="0" applyFill="1" applyBorder="1"/>
    <xf numFmtId="0" fontId="0" fillId="8" borderId="12" xfId="0" applyFill="1" applyBorder="1"/>
    <xf numFmtId="0" fontId="0" fillId="8" borderId="6" xfId="0" applyFill="1" applyBorder="1" applyAlignment="1">
      <alignment vertical="top"/>
    </xf>
    <xf numFmtId="0" fontId="0" fillId="7" borderId="10" xfId="0" applyFill="1" applyBorder="1"/>
    <xf numFmtId="0" fontId="0" fillId="7" borderId="3" xfId="0" applyFill="1" applyBorder="1"/>
    <xf numFmtId="0" fontId="0" fillId="8" borderId="10" xfId="0" applyFill="1" applyBorder="1"/>
    <xf numFmtId="0" fontId="0" fillId="8" borderId="3" xfId="0" applyFill="1" applyBorder="1"/>
    <xf numFmtId="0" fontId="0" fillId="6" borderId="10" xfId="0" applyFill="1" applyBorder="1"/>
    <xf numFmtId="0" fontId="0" fillId="6" borderId="3" xfId="0" applyFill="1" applyBorder="1"/>
    <xf numFmtId="0" fontId="0" fillId="7" borderId="13" xfId="0" applyFill="1" applyBorder="1"/>
    <xf numFmtId="0" fontId="0" fillId="7" borderId="9" xfId="0" applyFill="1" applyBorder="1"/>
    <xf numFmtId="0" fontId="0" fillId="8" borderId="13" xfId="0" applyFill="1" applyBorder="1"/>
    <xf numFmtId="0" fontId="0" fillId="8" borderId="9" xfId="0" applyFill="1" applyBorder="1"/>
    <xf numFmtId="0" fontId="0" fillId="6" borderId="13" xfId="0" applyFill="1" applyBorder="1"/>
    <xf numFmtId="0" fontId="0" fillId="6" borderId="14" xfId="0" applyFill="1" applyBorder="1"/>
    <xf numFmtId="0" fontId="0" fillId="7" borderId="15" xfId="0" applyFill="1" applyBorder="1"/>
    <xf numFmtId="0" fontId="0" fillId="7" borderId="14" xfId="0" applyFill="1" applyBorder="1"/>
    <xf numFmtId="0" fontId="0" fillId="8" borderId="15" xfId="0" applyFill="1" applyBorder="1"/>
    <xf numFmtId="0" fontId="0" fillId="8" borderId="14" xfId="0" applyFill="1" applyBorder="1"/>
    <xf numFmtId="0" fontId="0" fillId="6" borderId="15" xfId="0" applyFill="1" applyBorder="1"/>
    <xf numFmtId="0" fontId="0" fillId="6" borderId="9" xfId="0" applyFill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11" borderId="5" xfId="0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0" fillId="11" borderId="5" xfId="0" applyFill="1" applyBorder="1"/>
    <xf numFmtId="0" fontId="0" fillId="11" borderId="7" xfId="0" applyFill="1" applyBorder="1"/>
    <xf numFmtId="0" fontId="0" fillId="11" borderId="6" xfId="0" applyFill="1" applyBorder="1"/>
    <xf numFmtId="0" fontId="0" fillId="0" borderId="4" xfId="0" applyBorder="1"/>
    <xf numFmtId="0" fontId="0" fillId="0" borderId="14" xfId="0" applyBorder="1"/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4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11" borderId="8" xfId="0" applyFill="1" applyBorder="1"/>
    <xf numFmtId="0" fontId="0" fillId="11" borderId="11" xfId="0" applyFill="1" applyBorder="1"/>
    <xf numFmtId="0" fontId="0" fillId="11" borderId="9" xfId="0" applyFill="1" applyBorder="1"/>
    <xf numFmtId="0" fontId="0" fillId="0" borderId="15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0" borderId="2" xfId="0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E62A-C60D-40AC-9CAF-1CD9F5FB9875}">
  <dimension ref="A1:O23"/>
  <sheetViews>
    <sheetView tabSelected="1" workbookViewId="0">
      <selection activeCell="A4" sqref="A4:N4"/>
    </sheetView>
  </sheetViews>
  <sheetFormatPr defaultRowHeight="14.4" x14ac:dyDescent="0.3"/>
  <sheetData>
    <row r="1" spans="1:15" ht="21" x14ac:dyDescent="0.4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  <c r="O1" s="1"/>
    </row>
    <row r="2" spans="1:15" ht="21" x14ac:dyDescent="0.4">
      <c r="A2" s="93" t="s">
        <v>27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O2" s="1"/>
    </row>
    <row r="3" spans="1:15" ht="21" x14ac:dyDescent="0.4">
      <c r="A3" s="95" t="s">
        <v>28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1"/>
    </row>
    <row r="4" spans="1:15" x14ac:dyDescent="0.3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1"/>
    </row>
    <row r="5" spans="1:15" x14ac:dyDescent="0.3">
      <c r="A5" s="97" t="s">
        <v>1</v>
      </c>
      <c r="B5" s="98"/>
      <c r="C5" s="101" t="s">
        <v>2</v>
      </c>
      <c r="D5" s="102"/>
      <c r="E5" s="101" t="s">
        <v>3</v>
      </c>
      <c r="F5" s="102"/>
      <c r="G5" s="101" t="s">
        <v>4</v>
      </c>
      <c r="H5" s="102"/>
      <c r="I5" s="103" t="s">
        <v>5</v>
      </c>
      <c r="J5" s="104"/>
      <c r="K5" s="105"/>
      <c r="L5" s="109" t="s">
        <v>6</v>
      </c>
      <c r="M5" s="110"/>
      <c r="N5" s="110"/>
      <c r="O5" s="1"/>
    </row>
    <row r="6" spans="1:15" x14ac:dyDescent="0.3">
      <c r="A6" s="99"/>
      <c r="B6" s="100"/>
      <c r="C6" s="2" t="s">
        <v>7</v>
      </c>
      <c r="D6" s="3" t="s">
        <v>8</v>
      </c>
      <c r="E6" s="2" t="s">
        <v>7</v>
      </c>
      <c r="F6" s="3" t="s">
        <v>8</v>
      </c>
      <c r="G6" s="3" t="s">
        <v>7</v>
      </c>
      <c r="H6" s="3" t="s">
        <v>8</v>
      </c>
      <c r="I6" s="106"/>
      <c r="J6" s="107"/>
      <c r="K6" s="108"/>
      <c r="L6" s="111"/>
      <c r="M6" s="112"/>
      <c r="N6" s="113"/>
    </row>
    <row r="7" spans="1:15" x14ac:dyDescent="0.3">
      <c r="A7" s="62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63"/>
    </row>
    <row r="8" spans="1:15" x14ac:dyDescent="0.3">
      <c r="A8" s="85" t="s">
        <v>9</v>
      </c>
      <c r="B8" s="86"/>
      <c r="C8" s="4">
        <v>75</v>
      </c>
      <c r="D8" s="5">
        <v>25</v>
      </c>
      <c r="E8" s="6">
        <v>25</v>
      </c>
      <c r="F8" s="7">
        <v>10</v>
      </c>
      <c r="G8" s="8">
        <v>64</v>
      </c>
      <c r="H8" s="9">
        <v>22</v>
      </c>
      <c r="I8" s="54">
        <f>G8+H8</f>
        <v>86</v>
      </c>
      <c r="J8" s="55"/>
      <c r="K8" s="56"/>
      <c r="L8" s="87" t="s">
        <v>10</v>
      </c>
      <c r="M8" s="88"/>
      <c r="N8" s="89"/>
    </row>
    <row r="9" spans="1:15" x14ac:dyDescent="0.3">
      <c r="A9" s="85" t="s">
        <v>11</v>
      </c>
      <c r="B9" s="86"/>
      <c r="C9" s="4">
        <v>75</v>
      </c>
      <c r="D9" s="5">
        <v>25</v>
      </c>
      <c r="E9" s="10">
        <v>25</v>
      </c>
      <c r="F9" s="11">
        <v>10</v>
      </c>
      <c r="G9" s="12">
        <v>69</v>
      </c>
      <c r="H9" s="13">
        <v>25</v>
      </c>
      <c r="I9" s="54">
        <f t="shared" ref="I9:I16" si="0">G9+H9</f>
        <v>94</v>
      </c>
      <c r="J9" s="55"/>
      <c r="K9" s="56"/>
      <c r="L9" s="76" t="s">
        <v>10</v>
      </c>
      <c r="M9" s="77"/>
      <c r="N9" s="78"/>
    </row>
    <row r="10" spans="1:15" x14ac:dyDescent="0.3">
      <c r="A10" s="79" t="s">
        <v>12</v>
      </c>
      <c r="B10" s="80"/>
      <c r="C10" s="14">
        <v>75</v>
      </c>
      <c r="D10" s="15">
        <v>25</v>
      </c>
      <c r="E10" s="16">
        <v>25</v>
      </c>
      <c r="F10" s="17">
        <v>10</v>
      </c>
      <c r="G10" s="18">
        <v>70</v>
      </c>
      <c r="H10" s="19">
        <v>24</v>
      </c>
      <c r="I10" s="54">
        <f t="shared" si="0"/>
        <v>94</v>
      </c>
      <c r="J10" s="55"/>
      <c r="K10" s="56"/>
      <c r="L10" s="57" t="s">
        <v>10</v>
      </c>
      <c r="M10" s="58"/>
      <c r="N10" s="59"/>
    </row>
    <row r="11" spans="1:15" x14ac:dyDescent="0.3">
      <c r="A11" s="52" t="s">
        <v>13</v>
      </c>
      <c r="B11" s="53"/>
      <c r="C11" s="20">
        <v>75</v>
      </c>
      <c r="D11" s="21">
        <v>25</v>
      </c>
      <c r="E11" s="22">
        <v>25</v>
      </c>
      <c r="F11" s="23">
        <v>10</v>
      </c>
      <c r="G11" s="24">
        <v>70</v>
      </c>
      <c r="H11" s="25">
        <v>23</v>
      </c>
      <c r="I11" s="54">
        <f t="shared" si="0"/>
        <v>93</v>
      </c>
      <c r="J11" s="55"/>
      <c r="K11" s="56"/>
      <c r="L11" s="81" t="s">
        <v>10</v>
      </c>
      <c r="M11" s="82"/>
      <c r="N11" s="83"/>
    </row>
    <row r="12" spans="1:15" x14ac:dyDescent="0.3">
      <c r="A12" s="52" t="s">
        <v>14</v>
      </c>
      <c r="B12" s="53"/>
      <c r="C12" s="20">
        <v>75</v>
      </c>
      <c r="D12" s="15">
        <v>25</v>
      </c>
      <c r="E12" s="10">
        <v>25</v>
      </c>
      <c r="F12" s="11">
        <v>10</v>
      </c>
      <c r="G12" s="12">
        <v>55</v>
      </c>
      <c r="H12" s="13">
        <v>21</v>
      </c>
      <c r="I12" s="54">
        <f t="shared" si="0"/>
        <v>76</v>
      </c>
      <c r="J12" s="55"/>
      <c r="K12" s="56"/>
      <c r="L12" s="76" t="s">
        <v>10</v>
      </c>
      <c r="M12" s="77"/>
      <c r="N12" s="78"/>
    </row>
    <row r="13" spans="1:15" x14ac:dyDescent="0.3">
      <c r="A13" s="52" t="s">
        <v>15</v>
      </c>
      <c r="B13" s="53"/>
      <c r="C13" s="26">
        <v>75</v>
      </c>
      <c r="D13" s="5">
        <v>25</v>
      </c>
      <c r="E13" s="10">
        <v>25</v>
      </c>
      <c r="F13" s="11">
        <v>10</v>
      </c>
      <c r="G13" s="12">
        <v>74</v>
      </c>
      <c r="H13" s="13">
        <v>20</v>
      </c>
      <c r="I13" s="54">
        <f t="shared" si="0"/>
        <v>94</v>
      </c>
      <c r="J13" s="55"/>
      <c r="K13" s="56"/>
      <c r="L13" s="76" t="s">
        <v>10</v>
      </c>
      <c r="M13" s="77"/>
      <c r="N13" s="78"/>
    </row>
    <row r="14" spans="1:15" x14ac:dyDescent="0.3">
      <c r="A14" s="74" t="s">
        <v>16</v>
      </c>
      <c r="B14" s="75"/>
      <c r="C14" s="4">
        <v>75</v>
      </c>
      <c r="D14" s="15">
        <v>25</v>
      </c>
      <c r="E14" s="16">
        <v>25</v>
      </c>
      <c r="F14" s="11">
        <v>10</v>
      </c>
      <c r="G14" s="12">
        <v>72</v>
      </c>
      <c r="H14" s="13">
        <v>21</v>
      </c>
      <c r="I14" s="54">
        <f t="shared" si="0"/>
        <v>93</v>
      </c>
      <c r="J14" s="55"/>
      <c r="K14" s="56"/>
      <c r="L14" s="76" t="s">
        <v>10</v>
      </c>
      <c r="M14" s="77"/>
      <c r="N14" s="78"/>
    </row>
    <row r="15" spans="1:15" x14ac:dyDescent="0.3">
      <c r="A15" s="79" t="s">
        <v>17</v>
      </c>
      <c r="B15" s="80"/>
      <c r="C15" s="14">
        <v>75</v>
      </c>
      <c r="D15" s="27">
        <v>25</v>
      </c>
      <c r="E15" s="16">
        <v>25</v>
      </c>
      <c r="F15" s="17">
        <v>10</v>
      </c>
      <c r="G15" s="18">
        <v>73</v>
      </c>
      <c r="H15" s="19">
        <v>24</v>
      </c>
      <c r="I15" s="54">
        <f t="shared" si="0"/>
        <v>97</v>
      </c>
      <c r="J15" s="55"/>
      <c r="K15" s="56"/>
      <c r="L15" s="57" t="s">
        <v>10</v>
      </c>
      <c r="M15" s="58"/>
      <c r="N15" s="59"/>
    </row>
    <row r="16" spans="1:15" x14ac:dyDescent="0.3">
      <c r="A16" s="52" t="s">
        <v>18</v>
      </c>
      <c r="B16" s="53"/>
      <c r="C16" s="20">
        <v>75</v>
      </c>
      <c r="D16" s="27">
        <v>25</v>
      </c>
      <c r="E16" s="16">
        <v>25</v>
      </c>
      <c r="F16" s="17">
        <v>10</v>
      </c>
      <c r="G16" s="18">
        <v>75</v>
      </c>
      <c r="H16" s="19">
        <v>25</v>
      </c>
      <c r="I16" s="54">
        <f t="shared" si="0"/>
        <v>100</v>
      </c>
      <c r="J16" s="55"/>
      <c r="K16" s="56"/>
      <c r="L16" s="57" t="s">
        <v>10</v>
      </c>
      <c r="M16" s="58"/>
      <c r="N16" s="59"/>
    </row>
    <row r="17" spans="1:14" x14ac:dyDescent="0.3">
      <c r="A17" s="34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</row>
    <row r="18" spans="1:14" x14ac:dyDescent="0.3">
      <c r="A18" s="60" t="s">
        <v>19</v>
      </c>
      <c r="B18" s="61"/>
      <c r="C18" s="61"/>
      <c r="D18" s="62">
        <v>900</v>
      </c>
      <c r="E18" s="63"/>
      <c r="F18" s="64"/>
      <c r="G18" s="65"/>
      <c r="H18" s="66"/>
      <c r="I18" s="70" t="s">
        <v>20</v>
      </c>
      <c r="J18" s="71"/>
      <c r="K18" s="72"/>
      <c r="L18" s="50">
        <f>D20/D18*100</f>
        <v>91.888888888888886</v>
      </c>
      <c r="M18" s="51"/>
      <c r="N18" s="73"/>
    </row>
    <row r="19" spans="1:14" x14ac:dyDescent="0.3">
      <c r="A19" s="31" t="s">
        <v>21</v>
      </c>
      <c r="B19" s="32"/>
      <c r="C19" s="33"/>
      <c r="D19" s="35">
        <v>297</v>
      </c>
      <c r="E19" s="36"/>
      <c r="F19" s="67"/>
      <c r="G19" s="68"/>
      <c r="H19" s="69"/>
      <c r="I19" s="37" t="s">
        <v>22</v>
      </c>
      <c r="J19" s="38"/>
      <c r="K19" s="39"/>
      <c r="L19" s="40" t="s">
        <v>23</v>
      </c>
      <c r="M19" s="41"/>
      <c r="N19" s="73"/>
    </row>
    <row r="20" spans="1:14" x14ac:dyDescent="0.3">
      <c r="A20" s="42" t="s">
        <v>24</v>
      </c>
      <c r="B20" s="43"/>
      <c r="C20" s="44"/>
      <c r="D20" s="45">
        <f>I8+I9+I10+I11+I12+I13+I14+I15+I16</f>
        <v>827</v>
      </c>
      <c r="E20" s="46"/>
      <c r="F20" s="67"/>
      <c r="G20" s="68"/>
      <c r="H20" s="69"/>
      <c r="I20" s="47" t="s">
        <v>25</v>
      </c>
      <c r="J20" s="48"/>
      <c r="K20" s="49"/>
      <c r="L20" s="50">
        <v>1</v>
      </c>
      <c r="M20" s="51"/>
      <c r="N20" s="73"/>
    </row>
    <row r="21" spans="1:14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</row>
    <row r="22" spans="1:14" x14ac:dyDescent="0.3">
      <c r="A22" s="31" t="s">
        <v>26</v>
      </c>
      <c r="B22" s="32"/>
      <c r="C22" s="33"/>
      <c r="D22" s="34"/>
      <c r="E22" s="29"/>
      <c r="F22" s="29"/>
      <c r="G22" s="29"/>
      <c r="H22" s="29"/>
      <c r="I22" s="29"/>
      <c r="J22" s="29"/>
      <c r="K22" s="29"/>
      <c r="L22" s="29"/>
      <c r="M22" s="29"/>
      <c r="N22" s="30"/>
    </row>
    <row r="23" spans="1:14" x14ac:dyDescent="0.3">
      <c r="A23" s="28"/>
    </row>
  </sheetData>
  <mergeCells count="56">
    <mergeCell ref="A1:N1"/>
    <mergeCell ref="A2:N2"/>
    <mergeCell ref="A3:N3"/>
    <mergeCell ref="A4:N4"/>
    <mergeCell ref="A5:B6"/>
    <mergeCell ref="C5:D5"/>
    <mergeCell ref="E5:F5"/>
    <mergeCell ref="G5:H5"/>
    <mergeCell ref="I5:K6"/>
    <mergeCell ref="L5:N6"/>
    <mergeCell ref="A7:N7"/>
    <mergeCell ref="A8:B8"/>
    <mergeCell ref="I8:K8"/>
    <mergeCell ref="L8:N8"/>
    <mergeCell ref="A9:B9"/>
    <mergeCell ref="I9:K9"/>
    <mergeCell ref="L9:N9"/>
    <mergeCell ref="A10:B10"/>
    <mergeCell ref="I10:K10"/>
    <mergeCell ref="L10:N10"/>
    <mergeCell ref="A11:B11"/>
    <mergeCell ref="I11:K11"/>
    <mergeCell ref="L11:N11"/>
    <mergeCell ref="A12:B12"/>
    <mergeCell ref="I12:K12"/>
    <mergeCell ref="L12:N12"/>
    <mergeCell ref="A13:B13"/>
    <mergeCell ref="I13:K13"/>
    <mergeCell ref="L13:N13"/>
    <mergeCell ref="A14:B14"/>
    <mergeCell ref="I14:K14"/>
    <mergeCell ref="L14:N14"/>
    <mergeCell ref="A15:B15"/>
    <mergeCell ref="I15:K15"/>
    <mergeCell ref="L15:N15"/>
    <mergeCell ref="A16:B16"/>
    <mergeCell ref="I16:K16"/>
    <mergeCell ref="L16:N16"/>
    <mergeCell ref="A17:N17"/>
    <mergeCell ref="A18:C18"/>
    <mergeCell ref="D18:E18"/>
    <mergeCell ref="F18:H20"/>
    <mergeCell ref="I18:K18"/>
    <mergeCell ref="L18:M18"/>
    <mergeCell ref="N18:N20"/>
    <mergeCell ref="A21:N21"/>
    <mergeCell ref="A22:C22"/>
    <mergeCell ref="D22:N22"/>
    <mergeCell ref="A19:C19"/>
    <mergeCell ref="D19:E19"/>
    <mergeCell ref="I19:K19"/>
    <mergeCell ref="L19:M19"/>
    <mergeCell ref="A20:C20"/>
    <mergeCell ref="D20:E20"/>
    <mergeCell ref="I20:K20"/>
    <mergeCell ref="L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Tanish Thakur</cp:lastModifiedBy>
  <dcterms:created xsi:type="dcterms:W3CDTF">2026-02-23T16:44:11Z</dcterms:created>
  <dcterms:modified xsi:type="dcterms:W3CDTF">2026-02-26T17:40:28Z</dcterms:modified>
</cp:coreProperties>
</file>